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-44865" yWindow="-9525" windowWidth="32625" windowHeight="18525" activeTab="1"/>
  </bookViews>
  <sheets>
    <sheet name="2024-04-19 QC" sheetId="4" r:id="rId1"/>
    <sheet name="Anion QC" sheetId="5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5" l="1"/>
  <c r="C17" i="5" s="1"/>
  <c r="D15" i="5"/>
  <c r="D17" i="5" s="1"/>
  <c r="E15" i="5"/>
  <c r="E17" i="5" s="1"/>
  <c r="F15" i="5"/>
  <c r="G15" i="5"/>
  <c r="C16" i="5"/>
  <c r="D16" i="5"/>
  <c r="E16" i="5"/>
  <c r="F16" i="5"/>
  <c r="G16" i="5"/>
  <c r="F17" i="5"/>
  <c r="G17" i="5"/>
  <c r="B16" i="5"/>
  <c r="B15" i="5"/>
  <c r="B17" i="5" s="1"/>
  <c r="D45" i="4" l="1"/>
  <c r="E45" i="4"/>
  <c r="F45" i="4"/>
  <c r="C45" i="4"/>
  <c r="D44" i="4"/>
  <c r="E44" i="4"/>
  <c r="F44" i="4"/>
  <c r="C44" i="4"/>
  <c r="D43" i="4"/>
  <c r="E43" i="4"/>
  <c r="F43" i="4"/>
  <c r="C43" i="4"/>
</calcChain>
</file>

<file path=xl/sharedStrings.xml><?xml version="1.0" encoding="utf-8"?>
<sst xmlns="http://schemas.openxmlformats.org/spreadsheetml/2006/main" count="141" uniqueCount="50">
  <si>
    <t>Label</t>
  </si>
  <si>
    <t>Value</t>
  </si>
  <si>
    <t>K5</t>
  </si>
  <si>
    <t>Roth</t>
  </si>
  <si>
    <t>7Li</t>
  </si>
  <si>
    <t>9Be</t>
  </si>
  <si>
    <t>11B</t>
  </si>
  <si>
    <t>23Na</t>
  </si>
  <si>
    <t>24Mg</t>
  </si>
  <si>
    <t>27Al</t>
  </si>
  <si>
    <t>39K</t>
  </si>
  <si>
    <t>44Ca</t>
  </si>
  <si>
    <t>48Ti</t>
  </si>
  <si>
    <t>51V</t>
  </si>
  <si>
    <t>52Cr</t>
  </si>
  <si>
    <t>55Mn</t>
  </si>
  <si>
    <t>56Fe</t>
  </si>
  <si>
    <t>59Co</t>
  </si>
  <si>
    <t>60Ni</t>
  </si>
  <si>
    <t>63Cu</t>
  </si>
  <si>
    <t>66Zn</t>
  </si>
  <si>
    <t>75As</t>
  </si>
  <si>
    <t>78Se</t>
  </si>
  <si>
    <t>85Rb</t>
  </si>
  <si>
    <t>88Sr</t>
  </si>
  <si>
    <t>95Mo</t>
  </si>
  <si>
    <t>107Ag</t>
  </si>
  <si>
    <t>111Cd</t>
  </si>
  <si>
    <t>118Sn</t>
  </si>
  <si>
    <t>121Sb</t>
  </si>
  <si>
    <t>137Ba</t>
  </si>
  <si>
    <t>139La</t>
  </si>
  <si>
    <t>140Ce</t>
  </si>
  <si>
    <t>205Tl</t>
  </si>
  <si>
    <t>208Pb</t>
  </si>
  <si>
    <t>238U</t>
  </si>
  <si>
    <t>mg/L</t>
  </si>
  <si>
    <t>µg/L</t>
  </si>
  <si>
    <t>na</t>
  </si>
  <si>
    <t>mean</t>
  </si>
  <si>
    <t>rel sd</t>
  </si>
  <si>
    <t>abs sd</t>
  </si>
  <si>
    <t>Fluorid</t>
  </si>
  <si>
    <t>Chlorid</t>
  </si>
  <si>
    <t>Nitrit</t>
  </si>
  <si>
    <t>Bromid</t>
  </si>
  <si>
    <t>Nitrat</t>
  </si>
  <si>
    <t>Sulfat</t>
  </si>
  <si>
    <t>Phosphat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</si>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</sst>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right"/>
    </xf>
    <xf numFmtId="0" fontId="17" fillId="33" borderId="0" xfId="0" applyFont="1" applyFill="1"/>
    <xf numFmtId="0" fontId="17" fillId="33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/>
    <xf numFmtId="0" fontId="0" fillId="34" borderId="0" xfId="0" applyFill="1"/>
    <xf numFmtId="0" fontId="0" fillId="34" borderId="0" xfId="0" applyFill="1" applyAlignment="1">
      <alignment horizontal="center"/>
    </xf>
    <xf numFmtId="164" fontId="0" fillId="34" borderId="0" xfId="0" applyNumberFormat="1" applyFill="1" applyAlignment="1">
      <alignment horizontal="center"/>
    </xf>
    <xf numFmtId="9" fontId="0" fillId="34" borderId="0" xfId="42" applyFont="1" applyFill="1" applyAlignment="1">
      <alignment horizontal="center"/>
    </xf>
    <xf numFmtId="0" fontId="16" fillId="0" borderId="0" xfId="0" applyFont="1" applyAlignment="1">
      <alignment horizontal="center"/>
    </xf>
    <xf numFmtId="14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9" fontId="0" fillId="34" borderId="0" xfId="42" applyNumberFormat="1" applyFont="1" applyFill="1" applyAlignment="1">
      <alignment horizontal="right"/>
    </xf>
    <xf numFmtId="165" fontId="0" fillId="0" borderId="0" xfId="0" applyNumberFormat="1" applyFont="1"/>
    <xf numFmtId="0" fontId="0" fillId="0" borderId="0" xfId="0" applyFont="1"/>
    <xf numFmtId="0" fontId="18" fillId="0" borderId="0" xfId="0" applyFont="1" applyAlignment="1">
      <alignment horizontal="right"/>
    </xf>
    <xf numFmtId="14" fontId="19" fillId="0" borderId="0" xfId="0" applyNumberFormat="1" applyFont="1" applyAlignment="1">
      <alignment horizontal="right"/>
    </xf>
    <xf numFmtId="0" fontId="0" fillId="34" borderId="0" xfId="0" applyFont="1" applyFill="1" applyAlignment="1">
      <alignment horizontal="right"/>
    </xf>
    <xf numFmtId="165" fontId="0" fillId="34" borderId="0" xfId="0" applyNumberFormat="1" applyFont="1" applyFill="1" applyAlignment="1">
      <alignment horizontal="right"/>
    </xf>
    <xf numFmtId="164" fontId="0" fillId="34" borderId="0" xfId="0" applyNumberFormat="1" applyFont="1" applyFill="1" applyAlignment="1">
      <alignment horizontal="right"/>
    </xf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Prozent" xfId="42" builtinId="5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5"/>
  <sheetViews>
    <sheetView topLeftCell="A28" zoomScale="130" zoomScaleNormal="130" workbookViewId="0">
      <selection activeCell="B34" sqref="B34"/>
    </sheetView>
  </sheetViews>
  <sheetFormatPr baseColWidth="10" defaultRowHeight="15" x14ac:dyDescent="0.25"/>
  <cols>
    <col min="3" max="3" width="5.140625" style="5" bestFit="1" customWidth="1"/>
    <col min="4" max="4" width="5.28515625" style="5" bestFit="1" customWidth="1"/>
    <col min="5" max="6" width="5.140625" style="5" bestFit="1" customWidth="1"/>
    <col min="7" max="7" width="7.42578125" style="5" bestFit="1" customWidth="1"/>
    <col min="8" max="13" width="5.28515625" style="5" bestFit="1" customWidth="1"/>
    <col min="14" max="14" width="5.7109375" style="5" bestFit="1" customWidth="1"/>
    <col min="15" max="23" width="5.28515625" style="5" bestFit="1" customWidth="1"/>
    <col min="24" max="24" width="5.7109375" style="5" bestFit="1" customWidth="1"/>
    <col min="25" max="26" width="6" style="5" bestFit="1" customWidth="1"/>
    <col min="27" max="29" width="5.85546875" style="5" bestFit="1" customWidth="1"/>
    <col min="30" max="30" width="5.7109375" style="5" bestFit="1" customWidth="1"/>
    <col min="31" max="31" width="5.85546875" style="5" bestFit="1" customWidth="1"/>
    <col min="32" max="32" width="5.28515625" style="5" bestFit="1" customWidth="1"/>
    <col min="33" max="33" width="6" style="5" bestFit="1" customWidth="1"/>
    <col min="34" max="34" width="5.28515625" style="5" bestFit="1" customWidth="1"/>
  </cols>
  <sheetData>
    <row r="1" spans="1:34" s="2" customFormat="1" x14ac:dyDescent="0.25">
      <c r="C1" s="3" t="s">
        <v>7</v>
      </c>
      <c r="D1" s="3" t="s">
        <v>8</v>
      </c>
      <c r="E1" s="3" t="s">
        <v>10</v>
      </c>
      <c r="F1" s="3" t="s">
        <v>11</v>
      </c>
      <c r="G1" s="3" t="s">
        <v>4</v>
      </c>
      <c r="H1" s="3" t="s">
        <v>5</v>
      </c>
      <c r="I1" s="3" t="s">
        <v>6</v>
      </c>
      <c r="J1" s="3" t="s">
        <v>9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  <c r="AG1" s="3" t="s">
        <v>34</v>
      </c>
      <c r="AH1" s="3" t="s">
        <v>35</v>
      </c>
    </row>
    <row r="2" spans="1:34" s="2" customFormat="1" x14ac:dyDescent="0.25">
      <c r="B2" s="2" t="s">
        <v>0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1</v>
      </c>
    </row>
    <row r="3" spans="1:34" s="2" customFormat="1" x14ac:dyDescent="0.25">
      <c r="C3" s="3" t="s">
        <v>36</v>
      </c>
      <c r="D3" s="3" t="s">
        <v>36</v>
      </c>
      <c r="E3" s="3" t="s">
        <v>36</v>
      </c>
      <c r="F3" s="3" t="s">
        <v>36</v>
      </c>
      <c r="G3" s="3" t="s">
        <v>37</v>
      </c>
      <c r="H3" s="3" t="s">
        <v>37</v>
      </c>
      <c r="I3" s="3" t="s">
        <v>37</v>
      </c>
      <c r="J3" s="3" t="s">
        <v>37</v>
      </c>
      <c r="K3" s="3" t="s">
        <v>37</v>
      </c>
      <c r="L3" s="3" t="s">
        <v>37</v>
      </c>
      <c r="M3" s="3" t="s">
        <v>37</v>
      </c>
      <c r="N3" s="3" t="s">
        <v>37</v>
      </c>
      <c r="O3" s="3" t="s">
        <v>37</v>
      </c>
      <c r="P3" s="3" t="s">
        <v>37</v>
      </c>
      <c r="Q3" s="3" t="s">
        <v>37</v>
      </c>
      <c r="R3" s="3" t="s">
        <v>37</v>
      </c>
      <c r="S3" s="3" t="s">
        <v>37</v>
      </c>
      <c r="T3" s="3" t="s">
        <v>37</v>
      </c>
      <c r="U3" s="3" t="s">
        <v>37</v>
      </c>
      <c r="V3" s="3" t="s">
        <v>37</v>
      </c>
      <c r="W3" s="3" t="s">
        <v>37</v>
      </c>
      <c r="X3" s="3" t="s">
        <v>37</v>
      </c>
      <c r="Y3" s="3" t="s">
        <v>37</v>
      </c>
      <c r="Z3" s="3" t="s">
        <v>37</v>
      </c>
      <c r="AA3" s="3" t="s">
        <v>37</v>
      </c>
      <c r="AB3" s="3" t="s">
        <v>37</v>
      </c>
      <c r="AC3" s="3" t="s">
        <v>37</v>
      </c>
      <c r="AD3" s="3" t="s">
        <v>37</v>
      </c>
      <c r="AE3" s="3" t="s">
        <v>37</v>
      </c>
      <c r="AF3" s="3" t="s">
        <v>37</v>
      </c>
      <c r="AG3" s="3" t="s">
        <v>37</v>
      </c>
      <c r="AH3" s="3" t="s">
        <v>37</v>
      </c>
    </row>
    <row r="4" spans="1:34" x14ac:dyDescent="0.25">
      <c r="A4" s="7">
        <v>45401</v>
      </c>
      <c r="B4" t="s">
        <v>2</v>
      </c>
      <c r="C4" s="6"/>
      <c r="D4" s="6"/>
      <c r="E4" s="6"/>
      <c r="F4" s="6"/>
      <c r="G4" s="6">
        <v>4.9771364600252666</v>
      </c>
      <c r="H4" s="6">
        <v>4.8131699571552771</v>
      </c>
      <c r="I4" s="6">
        <v>4.8455835465460355</v>
      </c>
      <c r="J4" s="6">
        <v>4.8328053655105414</v>
      </c>
      <c r="K4" s="6">
        <v>4.8145462675946984</v>
      </c>
      <c r="L4" s="6">
        <v>4.8900190630548224</v>
      </c>
      <c r="M4" s="6">
        <v>4.8941788006656912</v>
      </c>
      <c r="N4" s="6">
        <v>4.7870430597287914</v>
      </c>
      <c r="O4" s="6">
        <v>5.1930794134255613</v>
      </c>
      <c r="P4" s="6">
        <v>4.8198366345707022</v>
      </c>
      <c r="Q4" s="6">
        <v>4.85710787732142</v>
      </c>
      <c r="R4" s="6">
        <v>4.8491273620577182</v>
      </c>
      <c r="S4" s="6">
        <v>5.0211519364124815</v>
      </c>
      <c r="T4" s="6">
        <v>4.8922668637727531</v>
      </c>
      <c r="U4" s="6">
        <v>4.8681499838964397</v>
      </c>
      <c r="V4" s="6">
        <v>4.8894801681631854</v>
      </c>
      <c r="W4" s="6">
        <v>4.8885620278998125</v>
      </c>
      <c r="X4" s="6">
        <v>4.7349170571675501</v>
      </c>
      <c r="Y4" s="6">
        <v>4.800628338723623</v>
      </c>
      <c r="Z4" s="6">
        <v>4.8515921524938843</v>
      </c>
      <c r="AA4" s="6">
        <v>4.821919832446433</v>
      </c>
      <c r="AB4" s="6">
        <v>4.9968646229657292</v>
      </c>
      <c r="AC4" s="6">
        <v>4.8214422254266527</v>
      </c>
      <c r="AD4" s="6">
        <v>4.7743578001520772</v>
      </c>
      <c r="AE4" s="6">
        <v>4.833314799477507</v>
      </c>
      <c r="AF4" s="6">
        <v>4.7697109208972455</v>
      </c>
      <c r="AG4" s="6">
        <v>4.8082508466956728</v>
      </c>
      <c r="AH4" s="6">
        <v>4.7220438936137477</v>
      </c>
    </row>
    <row r="5" spans="1:34" x14ac:dyDescent="0.25">
      <c r="A5" s="7">
        <v>45401</v>
      </c>
      <c r="B5" t="s">
        <v>3</v>
      </c>
      <c r="C5" s="6">
        <v>21.019677060917243</v>
      </c>
      <c r="D5" s="6">
        <v>19.409790590812342</v>
      </c>
      <c r="E5" s="6">
        <v>20.581817439640638</v>
      </c>
      <c r="F5" s="6">
        <v>40.851452928138329</v>
      </c>
      <c r="G5" s="4">
        <v>10249.002998630376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7" spans="1:34" x14ac:dyDescent="0.25">
      <c r="A7" s="7">
        <v>45407</v>
      </c>
      <c r="B7" t="s">
        <v>2</v>
      </c>
      <c r="C7" s="6"/>
      <c r="D7" s="6"/>
      <c r="E7" s="6"/>
      <c r="F7" s="6"/>
      <c r="G7" s="6">
        <v>5.1961722390568159</v>
      </c>
      <c r="H7" s="5" t="s">
        <v>38</v>
      </c>
      <c r="I7" s="6">
        <v>5.0796080493884155</v>
      </c>
      <c r="J7" s="6">
        <v>4.9658628168809953</v>
      </c>
      <c r="K7" s="6">
        <v>4.8909182703122864</v>
      </c>
      <c r="L7" s="6">
        <v>4.9732747824116803</v>
      </c>
      <c r="M7" s="6">
        <v>4.9520938078035579</v>
      </c>
      <c r="N7" s="6">
        <v>4.9192946896135581</v>
      </c>
      <c r="O7" s="6">
        <v>5.0255563844705122</v>
      </c>
      <c r="P7" s="6">
        <v>4.9317390800538297</v>
      </c>
      <c r="Q7" s="6">
        <v>4.9595735224762931</v>
      </c>
      <c r="R7" s="6">
        <v>4.9231193919044571</v>
      </c>
      <c r="S7" s="6">
        <v>4.8785825908867144</v>
      </c>
      <c r="T7" s="6">
        <v>4.9726031018081365</v>
      </c>
      <c r="U7" s="6">
        <v>4.8403211106020434</v>
      </c>
      <c r="V7" s="6">
        <v>4.8863828034968799</v>
      </c>
      <c r="W7" s="6">
        <v>4.9574605581904594</v>
      </c>
      <c r="X7" s="6">
        <v>4.7166102515437345</v>
      </c>
      <c r="Y7" s="6">
        <v>4.8014922891153686</v>
      </c>
      <c r="Z7" s="6">
        <v>4.8968911566487261</v>
      </c>
      <c r="AA7" s="6">
        <v>4.8035529445497271</v>
      </c>
      <c r="AB7" s="6">
        <v>4.95613989950101</v>
      </c>
      <c r="AC7" s="6">
        <v>4.9821451854875551</v>
      </c>
      <c r="AD7" s="6">
        <v>4.7859429694928028</v>
      </c>
      <c r="AE7" s="6">
        <v>4.8039924352135133</v>
      </c>
      <c r="AF7" s="6">
        <v>4.8657893201749989</v>
      </c>
      <c r="AG7" s="6">
        <v>4.8752418589880557</v>
      </c>
      <c r="AH7" s="6">
        <v>4.7847525560002451</v>
      </c>
    </row>
    <row r="8" spans="1:34" x14ac:dyDescent="0.25">
      <c r="A8" s="7">
        <v>45408</v>
      </c>
      <c r="B8" t="s">
        <v>3</v>
      </c>
      <c r="C8" s="6">
        <v>20.908083349002805</v>
      </c>
      <c r="D8" s="6">
        <v>19.33685193295533</v>
      </c>
      <c r="E8" s="6">
        <v>20.627579671736882</v>
      </c>
      <c r="F8" s="6">
        <v>40.560842468252538</v>
      </c>
      <c r="G8" s="4">
        <v>10118.885072304889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/>
    </row>
    <row r="10" spans="1:34" x14ac:dyDescent="0.25">
      <c r="A10" s="7">
        <v>45429</v>
      </c>
      <c r="B10" t="s">
        <v>2</v>
      </c>
      <c r="C10" s="6"/>
      <c r="D10" s="6"/>
      <c r="E10" s="6"/>
      <c r="F10" s="6"/>
      <c r="G10" s="6">
        <v>4.7890757595012357</v>
      </c>
      <c r="H10" s="6">
        <v>4.9065125275852299</v>
      </c>
      <c r="I10" s="6">
        <v>4.7479860611598204</v>
      </c>
      <c r="J10" s="6">
        <v>4.8411997016752286</v>
      </c>
      <c r="K10" s="6">
        <v>4.8985098067225978</v>
      </c>
      <c r="L10" s="6">
        <v>4.9139646454578054</v>
      </c>
      <c r="M10" s="6">
        <v>4.8838796257351245</v>
      </c>
      <c r="N10" s="6">
        <v>4.9707857487715295</v>
      </c>
      <c r="O10" s="6">
        <v>4.8911386568964037</v>
      </c>
      <c r="P10" s="6">
        <v>4.9048610619722286</v>
      </c>
      <c r="Q10" s="6">
        <v>4.9227188002634579</v>
      </c>
      <c r="R10" s="6">
        <v>4.8577233365801167</v>
      </c>
      <c r="S10" s="6">
        <v>4.8945896801423308</v>
      </c>
      <c r="T10" s="6">
        <v>4.8735609935215978</v>
      </c>
      <c r="U10" s="6">
        <v>4.9632676059503522</v>
      </c>
      <c r="V10" s="6">
        <v>4.9246943868329556</v>
      </c>
      <c r="W10" s="6">
        <v>4.7951578960282921</v>
      </c>
      <c r="X10" s="6">
        <v>4.8656479633371115</v>
      </c>
      <c r="Y10" s="6">
        <v>4.9521830200078201</v>
      </c>
      <c r="Z10" s="6">
        <v>4.8493118586727837</v>
      </c>
      <c r="AA10" s="6">
        <v>4.9688334934985923</v>
      </c>
      <c r="AB10" s="6">
        <v>4.9616050025097733</v>
      </c>
      <c r="AC10" s="6">
        <v>4.7980692639554992</v>
      </c>
      <c r="AD10" s="6">
        <v>4.7408884197648735</v>
      </c>
      <c r="AE10" s="6">
        <v>4.97215140337702</v>
      </c>
      <c r="AF10" s="6">
        <v>4.7818791447788369</v>
      </c>
      <c r="AG10" s="6">
        <v>4.6557211941843883</v>
      </c>
      <c r="AH10" s="6">
        <v>4.7750917015125429</v>
      </c>
    </row>
    <row r="11" spans="1:34" x14ac:dyDescent="0.25">
      <c r="A11" s="7">
        <v>45429</v>
      </c>
      <c r="B11" t="s">
        <v>3</v>
      </c>
      <c r="C11" s="6">
        <v>20.901572818312037</v>
      </c>
      <c r="D11" s="6">
        <v>19.277060063534858</v>
      </c>
      <c r="E11" s="6">
        <v>20.754783111996804</v>
      </c>
      <c r="F11" s="6">
        <v>40.565416984464065</v>
      </c>
      <c r="G11" s="4">
        <v>9789.8087362309361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3" spans="1:34" x14ac:dyDescent="0.25">
      <c r="A13" s="7">
        <v>45463</v>
      </c>
      <c r="B13" t="s">
        <v>2</v>
      </c>
      <c r="C13" s="6"/>
      <c r="D13" s="6"/>
      <c r="E13" s="6"/>
      <c r="F13" s="6"/>
      <c r="G13" s="6">
        <v>5.1624542931584774</v>
      </c>
      <c r="H13" s="6">
        <v>5.0446027440320611</v>
      </c>
      <c r="I13" s="6">
        <v>5.1049070345096119</v>
      </c>
      <c r="J13" s="6">
        <v>4.9301710155058771</v>
      </c>
      <c r="K13" s="6">
        <v>4.9442578899218566</v>
      </c>
      <c r="L13" s="6">
        <v>4.9637493720140027</v>
      </c>
      <c r="M13" s="6">
        <v>4.9949432207198816</v>
      </c>
      <c r="N13" s="6">
        <v>4.9996722171264709</v>
      </c>
      <c r="O13" s="6">
        <v>4.8802385089246476</v>
      </c>
      <c r="P13" s="6">
        <v>4.9579792632247601</v>
      </c>
      <c r="Q13" s="6">
        <v>4.8914546266672181</v>
      </c>
      <c r="R13" s="6">
        <v>5.0283223182105665</v>
      </c>
      <c r="S13" s="6">
        <v>4.9423622562605054</v>
      </c>
      <c r="T13" s="6">
        <v>4.9794191598197743</v>
      </c>
      <c r="U13" s="6">
        <v>5.0652286481477455</v>
      </c>
      <c r="V13" s="6">
        <v>5.011248900940287</v>
      </c>
      <c r="W13" s="6">
        <v>5.1116827208117623</v>
      </c>
      <c r="X13" s="6">
        <v>4.8575791174534615</v>
      </c>
      <c r="Y13" s="6">
        <v>4.9345293004667763</v>
      </c>
      <c r="Z13" s="6">
        <v>4.982903691029283</v>
      </c>
      <c r="AA13" s="6">
        <v>4.9486531805607559</v>
      </c>
      <c r="AB13" s="6">
        <v>4.5867803392619688</v>
      </c>
      <c r="AC13" s="6">
        <v>4.9542632903428725</v>
      </c>
      <c r="AD13" s="6">
        <v>4.7759573689933692</v>
      </c>
      <c r="AE13" s="6">
        <v>4.8623768607856483</v>
      </c>
      <c r="AF13" s="6">
        <v>4.7543209813466154</v>
      </c>
      <c r="AG13" s="6">
        <v>4.8620821241683227</v>
      </c>
      <c r="AH13" s="6">
        <v>4.7237544273308387</v>
      </c>
    </row>
    <row r="14" spans="1:34" x14ac:dyDescent="0.25">
      <c r="A14" s="7">
        <v>45463</v>
      </c>
      <c r="B14" t="s">
        <v>3</v>
      </c>
      <c r="C14" s="6">
        <v>20.555866692849623</v>
      </c>
      <c r="D14" s="6">
        <v>19.169536971868634</v>
      </c>
      <c r="E14" s="6">
        <v>20.464387251155255</v>
      </c>
      <c r="F14" s="6">
        <v>40.411636148471452</v>
      </c>
      <c r="G14" s="4">
        <v>9460.1053277987066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spans="1:34" x14ac:dyDescent="0.25">
      <c r="AH15"/>
    </row>
    <row r="16" spans="1:34" x14ac:dyDescent="0.25">
      <c r="A16" s="7">
        <v>45464</v>
      </c>
      <c r="B16" t="s">
        <v>2</v>
      </c>
      <c r="C16" s="6"/>
      <c r="D16" s="6"/>
      <c r="E16" s="6"/>
      <c r="F16" s="6"/>
      <c r="G16" s="6">
        <v>5.047528731082962</v>
      </c>
      <c r="H16" s="6">
        <v>5.5272401837632339</v>
      </c>
      <c r="I16" s="6">
        <v>5.1504784765056435</v>
      </c>
      <c r="J16" s="6">
        <v>4.9468167600018793</v>
      </c>
      <c r="K16" s="6">
        <v>5.1067176006665074</v>
      </c>
      <c r="L16" s="6">
        <v>5.1754896554475387</v>
      </c>
      <c r="M16" s="6">
        <v>5.1673781441575946</v>
      </c>
      <c r="N16" s="6">
        <v>5.191350775221788</v>
      </c>
      <c r="O16" s="6">
        <v>5.1753183493175552</v>
      </c>
      <c r="P16" s="6">
        <v>5.1825837819908998</v>
      </c>
      <c r="Q16" s="6">
        <v>5.1760067948367396</v>
      </c>
      <c r="R16" s="6">
        <v>5.2014793212487387</v>
      </c>
      <c r="S16" s="6">
        <v>5.2663059604463509</v>
      </c>
      <c r="T16" s="6">
        <v>5.2162712730130991</v>
      </c>
      <c r="U16" s="6">
        <v>5.2317399034781289</v>
      </c>
      <c r="V16" s="6">
        <v>5.1978422061891569</v>
      </c>
      <c r="W16" s="6">
        <v>5.241976610397673</v>
      </c>
      <c r="X16" s="6">
        <v>5.0229944375209046</v>
      </c>
      <c r="Y16" s="6">
        <v>5.0910568752083494</v>
      </c>
      <c r="Z16" s="6">
        <v>5.1809034987762193</v>
      </c>
      <c r="AA16" s="6">
        <v>5.1164599795412666</v>
      </c>
      <c r="AB16" s="6">
        <v>4.5120169763396722</v>
      </c>
      <c r="AC16" s="6">
        <v>5.1286291971456324</v>
      </c>
      <c r="AD16" s="6">
        <v>4.8950814446488717</v>
      </c>
      <c r="AE16" s="6">
        <v>4.9813238914505176</v>
      </c>
      <c r="AF16" s="6">
        <v>4.8661193572309838</v>
      </c>
      <c r="AG16" s="6">
        <v>4.9842045541666762</v>
      </c>
      <c r="AH16" s="6">
        <v>4.8031184260237811</v>
      </c>
    </row>
    <row r="17" spans="1:35" x14ac:dyDescent="0.25">
      <c r="A17" s="7">
        <v>45464</v>
      </c>
      <c r="B17" t="s">
        <v>3</v>
      </c>
      <c r="C17" s="6">
        <v>20.822557518931049</v>
      </c>
      <c r="D17" s="6">
        <v>19.159487728269543</v>
      </c>
      <c r="E17" s="6">
        <v>20.484018328028451</v>
      </c>
      <c r="F17" s="6">
        <v>40.344350766964773</v>
      </c>
      <c r="G17" s="4">
        <v>10009.893446380729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9" spans="1:35" x14ac:dyDescent="0.25">
      <c r="A19" s="7">
        <v>45534</v>
      </c>
      <c r="B19" t="s">
        <v>2</v>
      </c>
      <c r="C19" s="1"/>
      <c r="D19" s="1"/>
      <c r="E19" s="1"/>
      <c r="F19" s="1"/>
      <c r="G19" s="6">
        <v>5.2759831121423622</v>
      </c>
      <c r="H19" s="6">
        <v>4.9947085242620233</v>
      </c>
      <c r="I19" s="6">
        <v>5.0791996428618802</v>
      </c>
      <c r="J19" s="6">
        <v>4.8495944750249249</v>
      </c>
      <c r="K19" s="6">
        <v>4.9591686586568517</v>
      </c>
      <c r="L19" s="6">
        <v>5.0239945150842038</v>
      </c>
      <c r="M19" s="6">
        <v>5.0105917189066416</v>
      </c>
      <c r="N19" s="6">
        <v>5.0394658369623597</v>
      </c>
      <c r="O19" s="6">
        <v>5.031178367555996</v>
      </c>
      <c r="P19" s="6">
        <v>5.0388333699411563</v>
      </c>
      <c r="Q19" s="6">
        <v>5.0473548281810139</v>
      </c>
      <c r="R19" s="6">
        <v>5.1344018587101647</v>
      </c>
      <c r="S19" s="6">
        <v>5.0891648301285253</v>
      </c>
      <c r="T19" s="6">
        <v>5.0413999312693267</v>
      </c>
      <c r="U19" s="6">
        <v>5.0044828219972919</v>
      </c>
      <c r="V19" s="6">
        <v>4.9557078331607824</v>
      </c>
      <c r="W19" s="6">
        <v>5.0530127921253323</v>
      </c>
      <c r="X19" s="6">
        <v>4.8297808367158765</v>
      </c>
      <c r="Y19" s="6">
        <v>4.8542429955625011</v>
      </c>
      <c r="Z19" s="6">
        <v>4.9677898568316747</v>
      </c>
      <c r="AA19" s="6">
        <v>4.8915795154227473</v>
      </c>
      <c r="AB19" s="6">
        <v>4.9738131702060162</v>
      </c>
      <c r="AC19" s="6">
        <v>4.9371707252755757</v>
      </c>
      <c r="AD19" s="6">
        <v>4.879397297134088</v>
      </c>
      <c r="AE19" s="6">
        <v>4.8901408645778313</v>
      </c>
      <c r="AF19" s="6">
        <v>5.0109452546072326</v>
      </c>
      <c r="AG19" s="6">
        <v>4.9488738058903152</v>
      </c>
      <c r="AH19" s="6">
        <v>4.8935515752758683</v>
      </c>
    </row>
    <row r="20" spans="1:35" x14ac:dyDescent="0.25">
      <c r="A20" s="7">
        <v>45534</v>
      </c>
      <c r="B20" t="s">
        <v>3</v>
      </c>
      <c r="C20" s="5">
        <v>21.689748103221451</v>
      </c>
      <c r="D20" s="5">
        <v>19.115733173944353</v>
      </c>
      <c r="E20" s="5">
        <v>20.202945603977824</v>
      </c>
      <c r="F20" s="5">
        <v>40.627897147856238</v>
      </c>
      <c r="G20" s="5">
        <v>10179.150134542657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2" spans="1:35" x14ac:dyDescent="0.25">
      <c r="A22" s="7">
        <v>45553</v>
      </c>
      <c r="B22" t="s">
        <v>2</v>
      </c>
      <c r="C22" s="1"/>
      <c r="D22" s="1"/>
      <c r="E22" s="1"/>
      <c r="F22" s="1"/>
      <c r="G22" s="6">
        <v>5.1389754171671633</v>
      </c>
      <c r="H22" s="6">
        <v>5.4933732857922601</v>
      </c>
      <c r="I22" s="6">
        <v>5.1141268585524955</v>
      </c>
      <c r="J22" s="6">
        <v>5.093234922090816</v>
      </c>
      <c r="K22" s="6">
        <v>4.9966885273336716</v>
      </c>
      <c r="L22" s="6">
        <v>5.0304102929471792</v>
      </c>
      <c r="M22" s="6">
        <v>5.0597692867441575</v>
      </c>
      <c r="N22" s="6">
        <v>5.0676784378977704</v>
      </c>
      <c r="O22" s="6">
        <v>5.3449436626474185</v>
      </c>
      <c r="P22" s="6">
        <v>5.068458864067555</v>
      </c>
      <c r="Q22" s="6">
        <v>4.8370108579592674</v>
      </c>
      <c r="R22" s="6">
        <v>5.144596606123562</v>
      </c>
      <c r="S22" s="6">
        <v>5.2208162783358922</v>
      </c>
      <c r="T22" s="6">
        <v>5.1703903624994743</v>
      </c>
      <c r="U22" s="6">
        <v>5.155839430882363</v>
      </c>
      <c r="V22" s="6">
        <v>5.0347283807389083</v>
      </c>
      <c r="W22" s="6">
        <v>5.1132916031890181</v>
      </c>
      <c r="X22" s="6">
        <v>4.942962417633157</v>
      </c>
      <c r="Y22" s="6">
        <v>4.9962895786382759</v>
      </c>
      <c r="Z22" s="6">
        <v>5.1455846483922638</v>
      </c>
      <c r="AA22" s="6">
        <v>5.1912189814810397</v>
      </c>
      <c r="AB22" s="6">
        <v>4.0790528786616598</v>
      </c>
      <c r="AC22" s="6">
        <v>5.0624267951895403</v>
      </c>
      <c r="AD22" s="6">
        <v>5.0817664720280007</v>
      </c>
      <c r="AE22" s="6">
        <v>5.1588120104579636</v>
      </c>
      <c r="AF22" s="6">
        <v>4.9259992157444197</v>
      </c>
      <c r="AG22" s="6">
        <v>5.0293950715186861</v>
      </c>
      <c r="AH22" s="6">
        <v>5.0058427744065099</v>
      </c>
    </row>
    <row r="23" spans="1:35" x14ac:dyDescent="0.25">
      <c r="A23" s="7">
        <v>45553</v>
      </c>
      <c r="B23" t="s">
        <v>3</v>
      </c>
      <c r="C23" s="1">
        <v>21.260558283783347</v>
      </c>
      <c r="D23" s="1">
        <v>18.794613475223553</v>
      </c>
      <c r="E23" s="1"/>
      <c r="F23" s="1">
        <v>40.102280220998942</v>
      </c>
      <c r="G23" s="5">
        <v>10839.569184098315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5" spans="1:35" x14ac:dyDescent="0.25">
      <c r="A25" s="7">
        <v>45554</v>
      </c>
      <c r="B25" t="s">
        <v>2</v>
      </c>
      <c r="C25" s="1"/>
      <c r="D25" s="1"/>
      <c r="E25" s="1"/>
      <c r="F25" s="1"/>
      <c r="G25" s="6">
        <v>4.9165753037904389</v>
      </c>
      <c r="H25" s="6">
        <v>5.0242858964607073</v>
      </c>
      <c r="I25" s="6">
        <v>4.7945094095861949</v>
      </c>
      <c r="J25" s="6">
        <v>5.2646091664770394</v>
      </c>
      <c r="K25" s="6">
        <v>5.0449180499377997</v>
      </c>
      <c r="L25" s="6">
        <v>5.2191849083014334</v>
      </c>
      <c r="M25" s="6">
        <v>5.1580092894026919</v>
      </c>
      <c r="N25" s="6">
        <v>5.1625077349580248</v>
      </c>
      <c r="O25" s="6">
        <v>5.3439097625965708</v>
      </c>
      <c r="P25" s="6">
        <v>5.1827220982234001</v>
      </c>
      <c r="Q25" s="6">
        <v>5.2618196448823937</v>
      </c>
      <c r="R25" s="6">
        <v>5.2615777707422788</v>
      </c>
      <c r="S25" s="6">
        <v>4.9797903057704662</v>
      </c>
      <c r="T25" s="6">
        <v>5.1082037209900344</v>
      </c>
      <c r="U25" s="6">
        <v>4.8756934898655517</v>
      </c>
      <c r="V25" s="6">
        <v>5.1673352654625315</v>
      </c>
      <c r="W25" s="6">
        <v>4.9993113218415521</v>
      </c>
      <c r="X25" s="6">
        <v>5.027134667716016</v>
      </c>
      <c r="Y25" s="6">
        <v>4.9401382332316564</v>
      </c>
      <c r="Z25" s="6">
        <v>4.9814427691281571</v>
      </c>
      <c r="AA25" s="6">
        <v>4.8919856159848143</v>
      </c>
      <c r="AB25" s="6">
        <v>5.8347876718483205</v>
      </c>
      <c r="AC25" s="6">
        <v>4.8464791552344604</v>
      </c>
      <c r="AD25" s="6">
        <v>4.7778242857774611</v>
      </c>
      <c r="AE25" s="6">
        <v>4.7564619715143213</v>
      </c>
      <c r="AF25" s="6">
        <v>4.7781959008734569</v>
      </c>
      <c r="AG25" s="6">
        <v>4.9351431544199871</v>
      </c>
      <c r="AH25" s="6">
        <v>4.6679345411503999</v>
      </c>
    </row>
    <row r="26" spans="1:35" x14ac:dyDescent="0.25">
      <c r="A26" s="7">
        <v>45554</v>
      </c>
      <c r="B26" t="s">
        <v>3</v>
      </c>
      <c r="C26" s="5">
        <v>21.723483539607326</v>
      </c>
      <c r="D26" s="5">
        <v>18.497569201936642</v>
      </c>
      <c r="E26" s="5">
        <v>20.145455179058867</v>
      </c>
      <c r="F26" s="5">
        <v>39.354513529309301</v>
      </c>
      <c r="G26" s="5">
        <v>9998.0045725019809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8" spans="1:35" x14ac:dyDescent="0.25">
      <c r="A28" s="7">
        <v>45581</v>
      </c>
      <c r="B28" t="s">
        <v>2</v>
      </c>
      <c r="C28" s="1"/>
      <c r="D28" s="1"/>
      <c r="E28" s="1"/>
      <c r="F28" s="1"/>
      <c r="G28" s="6">
        <v>4.9852433735174522</v>
      </c>
      <c r="H28" s="5" t="s">
        <v>38</v>
      </c>
      <c r="I28" s="6">
        <v>4.7618988775918609</v>
      </c>
      <c r="J28" s="6">
        <v>4.8874729328982403</v>
      </c>
      <c r="K28" s="6">
        <v>4.9872519602069803</v>
      </c>
      <c r="L28" s="6">
        <v>5.004969178940641</v>
      </c>
      <c r="M28" s="6">
        <v>5.0442961182737864</v>
      </c>
      <c r="N28" s="6">
        <v>4.9836161276128053</v>
      </c>
      <c r="O28" s="6">
        <v>5.0411791547459028</v>
      </c>
      <c r="P28" s="6">
        <v>5.0488714789800921</v>
      </c>
      <c r="Q28" s="6">
        <v>5.0357481954011076</v>
      </c>
      <c r="R28" s="6">
        <v>5.1201019997938682</v>
      </c>
      <c r="S28" s="6">
        <v>5.4194994206005598</v>
      </c>
      <c r="T28" s="6">
        <v>5.1100318351294725</v>
      </c>
      <c r="U28" s="6">
        <v>5.0538888131630992</v>
      </c>
      <c r="V28" s="6">
        <v>4.9462994237465594</v>
      </c>
      <c r="W28" s="6">
        <v>5.0744781063085753</v>
      </c>
      <c r="X28" s="6">
        <v>4.8724526873578178</v>
      </c>
      <c r="Y28" s="6">
        <v>4.9694983180271732</v>
      </c>
      <c r="Z28" s="6">
        <v>4.968842863786568</v>
      </c>
      <c r="AA28" s="6">
        <v>4.9732355526094016</v>
      </c>
      <c r="AB28" s="6">
        <v>5.1099288808824079</v>
      </c>
      <c r="AC28" s="6">
        <v>4.9835360223591971</v>
      </c>
      <c r="AD28" s="6">
        <v>4.9812178238921616</v>
      </c>
      <c r="AE28" s="6">
        <v>5.0503037002593532</v>
      </c>
      <c r="AF28" s="6">
        <v>4.9395011804470448</v>
      </c>
      <c r="AG28" s="6">
        <v>5.0099234555480336</v>
      </c>
      <c r="AH28" s="6">
        <v>4.9962351903744944</v>
      </c>
    </row>
    <row r="29" spans="1:35" x14ac:dyDescent="0.25">
      <c r="A29" s="7">
        <v>45581</v>
      </c>
      <c r="B29" t="s">
        <v>3</v>
      </c>
      <c r="C29" s="1">
        <v>21.22540784612956</v>
      </c>
      <c r="D29" s="1">
        <v>18.831938034621047</v>
      </c>
      <c r="E29" s="1">
        <v>20.050630180115032</v>
      </c>
      <c r="F29" s="1">
        <v>39.810102279569129</v>
      </c>
      <c r="G29" s="4">
        <v>9913.3799529760254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1" spans="1:35" x14ac:dyDescent="0.25">
      <c r="A31" s="7">
        <v>45582</v>
      </c>
      <c r="B31" t="s">
        <v>2</v>
      </c>
      <c r="C31" s="1"/>
      <c r="D31" s="1"/>
      <c r="E31" s="1"/>
      <c r="F31" s="1"/>
      <c r="G31" s="6">
        <v>5.0770388395575381</v>
      </c>
      <c r="H31" s="6" t="s">
        <v>38</v>
      </c>
      <c r="I31" s="6">
        <v>4.8577431665912822</v>
      </c>
      <c r="J31" s="6">
        <v>5.2057604326233147</v>
      </c>
      <c r="K31" s="6">
        <v>4.8993964166475719</v>
      </c>
      <c r="L31" s="6">
        <v>4.9495086773347072</v>
      </c>
      <c r="M31" s="6">
        <v>4.9480216131358974</v>
      </c>
      <c r="N31" s="6">
        <v>4.9857528405566054</v>
      </c>
      <c r="O31" s="6">
        <v>5.0806060976004668</v>
      </c>
      <c r="P31" s="6">
        <v>4.9720144221510711</v>
      </c>
      <c r="Q31" s="6">
        <v>4.9418837909251323</v>
      </c>
      <c r="R31" s="6">
        <v>5.0142136523360303</v>
      </c>
      <c r="S31" s="6">
        <v>5.207327882629273</v>
      </c>
      <c r="T31" s="6">
        <v>5.0419376760272661</v>
      </c>
      <c r="U31" s="6">
        <v>4.9033811874637294</v>
      </c>
      <c r="V31" s="6">
        <v>5.0613663049628395</v>
      </c>
      <c r="W31" s="6">
        <v>5.1165743524955793</v>
      </c>
      <c r="X31" s="6">
        <v>4.8842801995993206</v>
      </c>
      <c r="Y31" s="6">
        <v>4.9246563051545289</v>
      </c>
      <c r="Z31" s="6">
        <v>4.966274142091315</v>
      </c>
      <c r="AA31" s="6">
        <v>4.9975138523890283</v>
      </c>
      <c r="AB31" s="6">
        <v>3.6841904065022457</v>
      </c>
      <c r="AC31" s="6">
        <v>4.9511584265874156</v>
      </c>
      <c r="AD31" s="6">
        <v>4.9462872581282307</v>
      </c>
      <c r="AE31" s="6">
        <v>4.982687383640819</v>
      </c>
      <c r="AF31" s="6">
        <v>4.8492481419802935</v>
      </c>
      <c r="AG31" s="6">
        <v>4.9503709219412553</v>
      </c>
      <c r="AH31" s="6">
        <v>4.8558866270262202</v>
      </c>
    </row>
    <row r="32" spans="1:35" x14ac:dyDescent="0.25">
      <c r="A32" s="7">
        <v>45582</v>
      </c>
      <c r="B32" t="s">
        <v>3</v>
      </c>
      <c r="C32" s="5">
        <v>21.146221987598729</v>
      </c>
      <c r="D32" s="5">
        <v>18.792815671953619</v>
      </c>
      <c r="E32" s="5">
        <v>20.115683288172665</v>
      </c>
      <c r="F32" s="5">
        <v>40.163795791249292</v>
      </c>
      <c r="G32" s="5">
        <v>10081.681489257791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4" spans="1:37" x14ac:dyDescent="0.25">
      <c r="A34" s="7">
        <v>45611</v>
      </c>
      <c r="B34" t="s">
        <v>2</v>
      </c>
      <c r="C34" s="6"/>
      <c r="D34" s="6"/>
      <c r="E34" s="6"/>
      <c r="F34" s="6"/>
      <c r="G34" s="6">
        <v>5.0500262803995817</v>
      </c>
      <c r="H34" s="6" t="s">
        <v>38</v>
      </c>
      <c r="I34" s="6">
        <v>5.1806301251446074</v>
      </c>
      <c r="J34" s="6">
        <v>5.2960320936479848</v>
      </c>
      <c r="K34" s="6">
        <v>4.829409455024253</v>
      </c>
      <c r="L34" s="6">
        <v>4.9438072240227813</v>
      </c>
      <c r="M34" s="6">
        <v>4.9266051423952941</v>
      </c>
      <c r="N34" s="6">
        <v>4.9763830261548874</v>
      </c>
      <c r="O34" s="6">
        <v>4.938077655497958</v>
      </c>
      <c r="P34" s="6">
        <v>4.9583568775593889</v>
      </c>
      <c r="Q34" s="6">
        <v>4.9905697859012879</v>
      </c>
      <c r="R34" s="6">
        <v>5.0014674292441459</v>
      </c>
      <c r="S34" s="6">
        <v>4.7360466949885076</v>
      </c>
      <c r="T34" s="6">
        <v>4.9518779868506977</v>
      </c>
      <c r="U34" s="6">
        <v>4.961978341027744</v>
      </c>
      <c r="V34" s="6">
        <v>4.9737693898774546</v>
      </c>
      <c r="W34" s="6">
        <v>5.0101714019660504</v>
      </c>
      <c r="X34" s="6">
        <v>4.8032478458836181</v>
      </c>
      <c r="Y34" s="6">
        <v>4.8855935993551567</v>
      </c>
      <c r="Z34" s="6">
        <v>4.9280647307801724</v>
      </c>
      <c r="AA34" s="6">
        <v>4.8822382965710904</v>
      </c>
      <c r="AB34" s="6">
        <v>4.9483723243817099</v>
      </c>
      <c r="AC34" s="6">
        <v>4.8414818030545446</v>
      </c>
      <c r="AD34" s="6">
        <v>4.8060830404843653</v>
      </c>
      <c r="AE34" s="6">
        <v>4.9046378623639093</v>
      </c>
      <c r="AF34" s="6">
        <v>4.7310729081077909</v>
      </c>
      <c r="AG34" s="6">
        <v>4.853204760876813</v>
      </c>
      <c r="AH34" s="6">
        <v>4.7131230080340751</v>
      </c>
    </row>
    <row r="35" spans="1:37" x14ac:dyDescent="0.25">
      <c r="A35" s="7">
        <v>45611</v>
      </c>
      <c r="B35" t="s">
        <v>3</v>
      </c>
      <c r="C35" s="6">
        <v>21.333560802393151</v>
      </c>
      <c r="D35" s="6">
        <v>19.236598279216306</v>
      </c>
      <c r="E35" s="6">
        <v>20.482536980811894</v>
      </c>
      <c r="F35" s="6">
        <v>40.549937630283758</v>
      </c>
      <c r="G35" s="4">
        <v>10035.700685585085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/>
    </row>
    <row r="37" spans="1:37" x14ac:dyDescent="0.25">
      <c r="A37" s="7">
        <v>45636</v>
      </c>
      <c r="B37" t="s">
        <v>2</v>
      </c>
      <c r="C37" s="6"/>
      <c r="D37" s="6"/>
      <c r="E37" s="6"/>
      <c r="F37" s="6"/>
      <c r="G37" s="6">
        <v>5.0579927609632778</v>
      </c>
      <c r="H37" s="6">
        <v>5.1789196233710264</v>
      </c>
      <c r="I37" s="6">
        <v>5.6299603791986179</v>
      </c>
      <c r="J37" s="6">
        <v>5.0694459371637368</v>
      </c>
      <c r="K37" s="6">
        <v>4.9622473591988676</v>
      </c>
      <c r="L37" s="6">
        <v>4.8664029777567066</v>
      </c>
      <c r="M37" s="6">
        <v>4.8446308141249652</v>
      </c>
      <c r="N37" s="6">
        <v>5.0486737520598162</v>
      </c>
      <c r="O37" s="6">
        <v>4.8672976537682677</v>
      </c>
      <c r="P37" s="6">
        <v>4.7810000526428738</v>
      </c>
      <c r="Q37" s="6">
        <v>4.7688762235528035</v>
      </c>
      <c r="R37" s="6">
        <v>4.7975906695135251</v>
      </c>
      <c r="S37" s="6">
        <v>4.8326698075407606</v>
      </c>
      <c r="T37" s="6">
        <v>4.8369068855483413</v>
      </c>
      <c r="U37" s="6">
        <v>4.9861238197548499</v>
      </c>
      <c r="V37" s="6">
        <v>5.2403813532878063</v>
      </c>
      <c r="W37" s="6">
        <v>5.2708146207787836</v>
      </c>
      <c r="X37" s="6">
        <v>4.8244914508393855</v>
      </c>
      <c r="Y37" s="6">
        <v>4.8695162666570537</v>
      </c>
      <c r="Z37" s="6">
        <v>5.0394216969871541</v>
      </c>
      <c r="AA37" s="6">
        <v>4.9308738350932639</v>
      </c>
      <c r="AB37" s="6">
        <v>4.2638969428481017</v>
      </c>
      <c r="AC37" s="6">
        <v>4.9961361801516135</v>
      </c>
      <c r="AD37" s="6">
        <v>5.0117094248375533</v>
      </c>
      <c r="AE37" s="6">
        <v>5.0327620373590038</v>
      </c>
      <c r="AF37" s="6">
        <v>4.8730557619824975</v>
      </c>
      <c r="AG37" s="6">
        <v>4.9677692285586659</v>
      </c>
      <c r="AH37" s="6">
        <v>4.8481260839909819</v>
      </c>
    </row>
    <row r="38" spans="1:37" x14ac:dyDescent="0.25">
      <c r="A38" s="7">
        <v>45636</v>
      </c>
      <c r="B38" t="s">
        <v>3</v>
      </c>
      <c r="C38" s="6">
        <v>21.656924720915281</v>
      </c>
      <c r="D38" s="6">
        <v>19.326495393822736</v>
      </c>
      <c r="E38" s="6">
        <v>20.538515158100751</v>
      </c>
      <c r="F38" s="6">
        <v>40.940776109174926</v>
      </c>
      <c r="G38" s="4">
        <v>10302.730832388539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40" spans="1:37" x14ac:dyDescent="0.25">
      <c r="A40" s="7">
        <v>45645</v>
      </c>
      <c r="B40" t="s">
        <v>2</v>
      </c>
      <c r="C40" s="6"/>
      <c r="D40" s="6"/>
      <c r="E40" s="6"/>
      <c r="F40" s="6"/>
      <c r="G40" s="6">
        <v>4.7746880953845636</v>
      </c>
      <c r="H40" s="6">
        <v>4.7583761066874875</v>
      </c>
      <c r="I40" s="6">
        <v>5.3733973574879252</v>
      </c>
      <c r="J40" s="6">
        <v>4.7522053660164829</v>
      </c>
      <c r="K40" s="6">
        <v>4.9203116189477329</v>
      </c>
      <c r="L40" s="6">
        <v>4.9028275366239376</v>
      </c>
      <c r="M40" s="6">
        <v>4.8771707910764031</v>
      </c>
      <c r="N40" s="6">
        <v>4.9316999243964528</v>
      </c>
      <c r="O40" s="6">
        <v>4.8626497538209144</v>
      </c>
      <c r="P40" s="6">
        <v>4.8467759021357946</v>
      </c>
      <c r="Q40" s="6">
        <v>4.8456617209133519</v>
      </c>
      <c r="R40" s="6">
        <v>4.8145775743979309</v>
      </c>
      <c r="S40" s="6">
        <v>4.7859408058798287</v>
      </c>
      <c r="T40" s="6">
        <v>4.827666046294012</v>
      </c>
      <c r="U40" s="6">
        <v>4.8973463004933473</v>
      </c>
      <c r="V40" s="6">
        <v>5.2913923274666059</v>
      </c>
      <c r="W40" s="6">
        <v>5.3033806437967828</v>
      </c>
      <c r="X40" s="6">
        <v>4.9216307187780135</v>
      </c>
      <c r="Y40" s="6">
        <v>4.8712142983430358</v>
      </c>
      <c r="Z40" s="6">
        <v>4.9474010178295202</v>
      </c>
      <c r="AA40" s="6">
        <v>4.8471957662500476</v>
      </c>
      <c r="AB40" s="6">
        <v>5.5592894673749225</v>
      </c>
      <c r="AC40" s="6">
        <v>4.8815307036874511</v>
      </c>
      <c r="AD40" s="6">
        <v>4.8322589127146758</v>
      </c>
      <c r="AE40" s="6">
        <v>4.8415275399756306</v>
      </c>
      <c r="AF40" s="6">
        <v>4.8200617873124871</v>
      </c>
      <c r="AG40" s="6">
        <v>4.8963330528803732</v>
      </c>
      <c r="AH40" s="6">
        <v>4.6892164901396516</v>
      </c>
    </row>
    <row r="41" spans="1:37" x14ac:dyDescent="0.25">
      <c r="A41" s="7">
        <v>45646</v>
      </c>
      <c r="B41" t="s">
        <v>3</v>
      </c>
      <c r="C41" s="6">
        <v>20.469945309602654</v>
      </c>
      <c r="D41" s="6">
        <v>18.479296772944888</v>
      </c>
      <c r="E41" s="6">
        <v>19.938790200145327</v>
      </c>
      <c r="F41" s="6">
        <v>39.456774212063195</v>
      </c>
      <c r="G41" s="4">
        <v>9636.0792171000521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3" spans="1:37" x14ac:dyDescent="0.25">
      <c r="B43" s="8" t="s">
        <v>41</v>
      </c>
      <c r="C43" s="9">
        <f>STDEV(C4:C42)</f>
        <v>0.40665453928981982</v>
      </c>
      <c r="D43" s="9">
        <f t="shared" ref="D43:F43" si="0">STDEV(D4:D42)</f>
        <v>0.31769434804384256</v>
      </c>
      <c r="E43" s="9">
        <f t="shared" si="0"/>
        <v>0.26163015274078744</v>
      </c>
      <c r="F43" s="9">
        <f t="shared" si="0"/>
        <v>0.49482643659591147</v>
      </c>
    </row>
    <row r="44" spans="1:37" x14ac:dyDescent="0.25">
      <c r="B44" s="8" t="s">
        <v>39</v>
      </c>
      <c r="C44" s="10">
        <f>AVERAGE(C4:C41)</f>
        <v>21.131816002558786</v>
      </c>
      <c r="D44" s="10">
        <f t="shared" ref="D44:F44" si="1">AVERAGE(D4:D41)</f>
        <v>19.032906714700296</v>
      </c>
      <c r="E44" s="10">
        <f t="shared" si="1"/>
        <v>20.3655951994117</v>
      </c>
      <c r="F44" s="10">
        <f t="shared" si="1"/>
        <v>40.287675093599688</v>
      </c>
    </row>
    <row r="45" spans="1:37" x14ac:dyDescent="0.25">
      <c r="B45" s="8" t="s">
        <v>40</v>
      </c>
      <c r="C45" s="11">
        <f>C43/C44</f>
        <v>1.9243710017188265E-2</v>
      </c>
      <c r="D45" s="11">
        <f t="shared" ref="D45:F45" si="2">D43/D44</f>
        <v>1.6691846012068533E-2</v>
      </c>
      <c r="E45" s="11">
        <f t="shared" si="2"/>
        <v>1.2846673528517602E-2</v>
      </c>
      <c r="F45" s="11">
        <f t="shared" si="2"/>
        <v>1.2282327919054386E-2</v>
      </c>
    </row>
  </sheetData>
  <pageMargins left="0.78740157499999996" right="0.78740157499999996" top="0.984251969" bottom="0.984251969" header="0.4921259845" footer="0.492125984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F30" sqref="F30"/>
    </sheetView>
  </sheetViews>
  <sheetFormatPr baseColWidth="10" defaultRowHeight="15" x14ac:dyDescent="0.25"/>
  <cols>
    <col min="1" max="1" width="11.42578125" style="12"/>
    <col min="2" max="8" width="11.42578125" style="1"/>
  </cols>
  <sheetData>
    <row r="1" spans="1:8" x14ac:dyDescent="0.25">
      <c r="A1" s="15" t="s">
        <v>49</v>
      </c>
      <c r="B1" s="19" t="s">
        <v>42</v>
      </c>
      <c r="C1" s="19" t="s">
        <v>43</v>
      </c>
      <c r="D1" s="19" t="s">
        <v>44</v>
      </c>
      <c r="E1" s="19" t="s">
        <v>45</v>
      </c>
      <c r="F1" s="19" t="s">
        <v>46</v>
      </c>
      <c r="G1" s="19" t="s">
        <v>47</v>
      </c>
      <c r="H1" s="19" t="s">
        <v>48</v>
      </c>
    </row>
    <row r="2" spans="1:8" x14ac:dyDescent="0.25">
      <c r="A2" s="20">
        <v>45393</v>
      </c>
      <c r="B2" s="14">
        <v>1.6819999999999999</v>
      </c>
      <c r="C2" s="14">
        <v>8.9610000000000003</v>
      </c>
      <c r="D2" s="14">
        <v>1.833</v>
      </c>
      <c r="E2" s="14">
        <v>1.698</v>
      </c>
      <c r="F2" s="14">
        <v>89.061999999999998</v>
      </c>
      <c r="G2" s="14">
        <v>17.831</v>
      </c>
      <c r="H2" s="14">
        <v>1.744</v>
      </c>
    </row>
    <row r="3" spans="1:8" x14ac:dyDescent="0.25">
      <c r="A3" s="13">
        <v>45407</v>
      </c>
      <c r="B3" s="14">
        <v>1.696</v>
      </c>
      <c r="C3" s="14">
        <v>8.8550000000000004</v>
      </c>
      <c r="D3" s="14">
        <v>1.6719999999999999</v>
      </c>
      <c r="E3" s="14">
        <v>1.665</v>
      </c>
      <c r="F3" s="14">
        <v>87.504999999999995</v>
      </c>
      <c r="G3" s="14">
        <v>17.818999999999999</v>
      </c>
      <c r="H3" s="14">
        <v>1.425</v>
      </c>
    </row>
    <row r="4" spans="1:8" x14ac:dyDescent="0.25">
      <c r="A4" s="14"/>
      <c r="B4" s="14"/>
      <c r="C4" s="14"/>
      <c r="D4" s="14"/>
      <c r="E4" s="14"/>
      <c r="F4" s="14"/>
      <c r="G4" s="14"/>
      <c r="H4" s="14"/>
    </row>
    <row r="5" spans="1:8" x14ac:dyDescent="0.25">
      <c r="A5" s="20">
        <v>45448</v>
      </c>
      <c r="B5" s="17">
        <v>1.827</v>
      </c>
      <c r="C5" s="17">
        <v>1.7969999999999999</v>
      </c>
      <c r="D5" s="17">
        <v>1.663</v>
      </c>
      <c r="E5" s="17">
        <v>1.7549999999999999</v>
      </c>
      <c r="F5" s="17">
        <v>8.8859999999999992</v>
      </c>
      <c r="G5" s="17">
        <v>1.802</v>
      </c>
      <c r="H5" s="18"/>
    </row>
    <row r="6" spans="1:8" x14ac:dyDescent="0.25">
      <c r="A6" s="13">
        <v>45468</v>
      </c>
      <c r="B6" s="17">
        <v>1.802</v>
      </c>
      <c r="C6" s="17">
        <v>1.768</v>
      </c>
      <c r="D6" s="17">
        <v>1.68</v>
      </c>
      <c r="E6" s="17">
        <v>1.7829999999999999</v>
      </c>
      <c r="F6" s="17">
        <v>8.9640000000000004</v>
      </c>
      <c r="G6" s="17">
        <v>1.79</v>
      </c>
      <c r="H6" s="14"/>
    </row>
    <row r="7" spans="1:8" x14ac:dyDescent="0.25">
      <c r="A7" s="13">
        <v>45491</v>
      </c>
      <c r="B7" s="17">
        <v>1.748</v>
      </c>
      <c r="C7" s="17">
        <v>1.764</v>
      </c>
      <c r="D7" s="17">
        <v>1.679</v>
      </c>
      <c r="E7" s="17">
        <v>1.7370000000000001</v>
      </c>
      <c r="F7" s="17">
        <v>9.0109999999999992</v>
      </c>
      <c r="G7" s="17">
        <v>1.744</v>
      </c>
      <c r="H7" s="14"/>
    </row>
    <row r="8" spans="1:8" x14ac:dyDescent="0.25">
      <c r="A8" s="13">
        <v>45525</v>
      </c>
      <c r="B8" s="17">
        <v>1.7150000000000001</v>
      </c>
      <c r="C8" s="17">
        <v>1.7669999999999999</v>
      </c>
      <c r="D8" s="17">
        <v>1.78</v>
      </c>
      <c r="E8" s="17">
        <v>1.74</v>
      </c>
      <c r="F8" s="17">
        <v>8.7919999999999998</v>
      </c>
      <c r="G8" s="17">
        <v>1.7010000000000001</v>
      </c>
      <c r="H8" s="14"/>
    </row>
    <row r="9" spans="1:8" x14ac:dyDescent="0.25">
      <c r="A9" s="13">
        <v>45574</v>
      </c>
      <c r="B9" s="17">
        <v>1.75</v>
      </c>
      <c r="C9" s="17">
        <v>1.7889999999999999</v>
      </c>
      <c r="D9" s="17">
        <v>1.764</v>
      </c>
      <c r="E9" s="17">
        <v>1.788</v>
      </c>
      <c r="F9" s="17">
        <v>8.9589999999999996</v>
      </c>
      <c r="G9" s="17">
        <v>1.7589999999999999</v>
      </c>
      <c r="H9" s="14"/>
    </row>
    <row r="10" spans="1:8" x14ac:dyDescent="0.25">
      <c r="A10" s="13">
        <v>45586</v>
      </c>
      <c r="B10" s="17">
        <v>1.768</v>
      </c>
      <c r="C10" s="17">
        <v>1.81</v>
      </c>
      <c r="D10" s="17">
        <v>1.845</v>
      </c>
      <c r="E10" s="17">
        <v>1.819</v>
      </c>
      <c r="F10" s="17">
        <v>9.2569999999999997</v>
      </c>
      <c r="G10" s="17">
        <v>1.762</v>
      </c>
      <c r="H10" s="14"/>
    </row>
    <row r="11" spans="1:8" x14ac:dyDescent="0.25">
      <c r="A11" s="13">
        <v>45629</v>
      </c>
      <c r="B11" s="17">
        <v>1.6970000000000001</v>
      </c>
      <c r="C11" s="17">
        <v>1.75</v>
      </c>
      <c r="D11" s="17">
        <v>1.7310000000000001</v>
      </c>
      <c r="E11" s="17">
        <v>1.7150000000000001</v>
      </c>
      <c r="F11" s="17">
        <v>8.4619999999999997</v>
      </c>
      <c r="G11" s="17">
        <v>1.7310000000000001</v>
      </c>
      <c r="H11" s="14"/>
    </row>
    <row r="12" spans="1:8" x14ac:dyDescent="0.25">
      <c r="A12" s="13">
        <v>45642</v>
      </c>
      <c r="B12" s="17">
        <v>1.72</v>
      </c>
      <c r="C12" s="17">
        <v>1.764</v>
      </c>
      <c r="D12" s="17">
        <v>1.7350000000000001</v>
      </c>
      <c r="E12" s="17">
        <v>1.7470000000000001</v>
      </c>
      <c r="F12" s="17">
        <v>8.6690000000000005</v>
      </c>
      <c r="G12" s="17">
        <v>1.7549999999999999</v>
      </c>
      <c r="H12" s="14"/>
    </row>
    <row r="13" spans="1:8" x14ac:dyDescent="0.25">
      <c r="A13" s="13">
        <v>45681</v>
      </c>
      <c r="B13" s="17">
        <v>1.75</v>
      </c>
      <c r="C13" s="17">
        <v>1.81</v>
      </c>
      <c r="D13" s="17">
        <v>1.74</v>
      </c>
      <c r="E13" s="17">
        <v>1.776</v>
      </c>
      <c r="F13" s="17">
        <v>8.9629999999999992</v>
      </c>
      <c r="G13" s="17">
        <v>1.7829999999999999</v>
      </c>
      <c r="H13" s="14"/>
    </row>
    <row r="14" spans="1:8" x14ac:dyDescent="0.25">
      <c r="B14" s="14"/>
      <c r="C14" s="14"/>
      <c r="D14" s="14"/>
      <c r="E14" s="14"/>
      <c r="F14" s="14"/>
      <c r="G14" s="14"/>
      <c r="H14" s="14"/>
    </row>
    <row r="15" spans="1:8" x14ac:dyDescent="0.25">
      <c r="A15" s="21" t="s">
        <v>41</v>
      </c>
      <c r="B15" s="22">
        <f>STDEV(B5:B13)</f>
        <v>4.1554181498376287E-2</v>
      </c>
      <c r="C15" s="22">
        <f t="shared" ref="C15:G15" si="0">STDEV(C5:C13)</f>
        <v>2.2064929438162989E-2</v>
      </c>
      <c r="D15" s="22">
        <f t="shared" si="0"/>
        <v>5.739289541785153E-2</v>
      </c>
      <c r="E15" s="22">
        <f t="shared" si="0"/>
        <v>3.1924824892933114E-2</v>
      </c>
      <c r="F15" s="22">
        <f t="shared" si="0"/>
        <v>0.22535958920011454</v>
      </c>
      <c r="G15" s="22">
        <f t="shared" si="0"/>
        <v>3.1189385658870816E-2</v>
      </c>
      <c r="H15" s="14"/>
    </row>
    <row r="16" spans="1:8" x14ac:dyDescent="0.25">
      <c r="A16" s="21" t="s">
        <v>39</v>
      </c>
      <c r="B16" s="23">
        <f>AVERAGE(B5:B13)</f>
        <v>1.7529999999999999</v>
      </c>
      <c r="C16" s="23">
        <f t="shared" ref="C16:G16" si="1">AVERAGE(C5:C13)</f>
        <v>1.7798888888888886</v>
      </c>
      <c r="D16" s="23">
        <f t="shared" si="1"/>
        <v>1.7352222222222222</v>
      </c>
      <c r="E16" s="23">
        <f t="shared" si="1"/>
        <v>1.7622222222222221</v>
      </c>
      <c r="F16" s="23">
        <f t="shared" si="1"/>
        <v>8.8847777777777761</v>
      </c>
      <c r="G16" s="23">
        <f t="shared" si="1"/>
        <v>1.7585555555555556</v>
      </c>
      <c r="H16" s="14"/>
    </row>
    <row r="17" spans="1:8" x14ac:dyDescent="0.25">
      <c r="A17" s="21" t="s">
        <v>40</v>
      </c>
      <c r="B17" s="16">
        <f>B15/B16</f>
        <v>2.3704610096050367E-2</v>
      </c>
      <c r="C17" s="16">
        <f t="shared" ref="C17:G17" si="2">C15/C16</f>
        <v>1.2396801607058302E-2</v>
      </c>
      <c r="D17" s="16">
        <f t="shared" si="2"/>
        <v>3.3075242284732263E-2</v>
      </c>
      <c r="E17" s="16">
        <f t="shared" si="2"/>
        <v>1.8116231023732537E-2</v>
      </c>
      <c r="F17" s="16">
        <f t="shared" si="2"/>
        <v>2.53646849518031E-2</v>
      </c>
      <c r="G17" s="16">
        <f t="shared" si="2"/>
        <v>1.7735797746246118E-2</v>
      </c>
      <c r="H17" s="14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2024-04-19 QC</vt:lpstr>
      <vt:lpstr>Anion QC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ICP-MS</dc:creator>
  <cp:lastModifiedBy>Irene</cp:lastModifiedBy>
  <dcterms:created xsi:type="dcterms:W3CDTF">2024-04-24T11:09:23Z</dcterms:created>
  <dcterms:modified xsi:type="dcterms:W3CDTF">2026-03-18T12:13:40Z</dcterms:modified>
</cp:coreProperties>
</file>